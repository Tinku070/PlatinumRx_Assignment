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cket"/>
    <sheet r:id="rId2" sheetId="2" name="Pivot Table (Same Hour)"/>
    <sheet r:id="rId3" sheetId="3" name="Pivot Table (Same Day)"/>
    <sheet r:id="rId4" sheetId="4" name="feedbacks"/>
  </sheets>
  <calcPr fullCalcOnLoad="1"/>
</workbook>
</file>

<file path=xl/sharedStrings.xml><?xml version="1.0" encoding="utf-8"?>
<sst xmlns="http://schemas.openxmlformats.org/spreadsheetml/2006/main" count="72" uniqueCount="29">
  <si>
    <t>cms_id</t>
  </si>
  <si>
    <t>feedback_at</t>
  </si>
  <si>
    <t>feedback_rating</t>
  </si>
  <si>
    <t>ticket_created_at</t>
  </si>
  <si>
    <t>vew-iuvd-12</t>
  </si>
  <si>
    <t>8woh-k3u-23b</t>
  </si>
  <si>
    <t>hsu-kk29-55</t>
  </si>
  <si>
    <t>COUNTA of ticket_id</t>
  </si>
  <si>
    <t>Same Day</t>
  </si>
  <si>
    <t>outlet_id</t>
  </si>
  <si>
    <t>FALSE</t>
  </si>
  <si>
    <t>TRUE</t>
  </si>
  <si>
    <t>(blank)</t>
  </si>
  <si>
    <t>Grand Total</t>
  </si>
  <si>
    <t>wrqy-001</t>
  </si>
  <si>
    <t>wrqy-002</t>
  </si>
  <si>
    <t>wrqy-003</t>
  </si>
  <si>
    <t>Same Hour</t>
  </si>
  <si>
    <t>ticket_id</t>
  </si>
  <si>
    <t>created_at</t>
  </si>
  <si>
    <t>closed_at</t>
  </si>
  <si>
    <t xml:space="preserve"> </t>
  </si>
  <si>
    <t>isu-sjd-457</t>
  </si>
  <si>
    <t>qer-fal-092</t>
  </si>
  <si>
    <t>hsu-221-908</t>
  </si>
  <si>
    <t>ppa-761-110</t>
  </si>
  <si>
    <t>wop-998x-v2</t>
  </si>
  <si>
    <t>kes-112-990</t>
  </si>
  <si>
    <t>qed-882m-aa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</si>
</sst>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 hh:mm:ss"/>
    <numFmt numFmtId="165" formatCode="dd/mm/yyyy hh:mm:ss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8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3" applyNumberFormat="1" borderId="5" applyBorder="1" fontId="3" applyFont="1" fillId="0" applyAlignment="1">
      <alignment horizontal="left"/>
    </xf>
    <xf xfId="0" numFmtId="0" borderId="5" applyBorder="1" fontId="3" applyFont="1" fillId="0" applyAlignment="1">
      <alignment horizontal="left"/>
    </xf>
    <xf xfId="0" numFmtId="3" applyNumberFormat="1" borderId="6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3" applyNumberFormat="1" borderId="5" applyBorder="1" fontId="3" applyFont="1" fillId="0" applyAlignment="1">
      <alignment horizontal="right"/>
    </xf>
    <xf xfId="0" numFmtId="3" applyNumberFormat="1" borderId="6" applyBorder="1" fontId="3" applyFont="1" fillId="0" applyAlignment="1">
      <alignment horizontal="right"/>
    </xf>
    <xf xfId="0" numFmtId="0" borderId="7" applyBorder="1" fontId="3" applyFont="1" fillId="0" applyAlignment="1">
      <alignment horizontal="left"/>
    </xf>
    <xf xfId="0" numFmtId="3" applyNumberFormat="1" borderId="7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8" applyBorder="1" fontId="3" applyFont="1" fillId="0" applyAlignment="1">
      <alignment horizontal="right"/>
    </xf>
    <xf xfId="0" numFmtId="3" applyNumberFormat="1" borderId="7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8" applyBorder="1" fontId="3" applyFont="1" fillId="0" applyAlignment="1">
      <alignment horizontal="left"/>
    </xf>
    <xf xfId="0" numFmtId="0" borderId="9" applyBorder="1" fontId="3" applyFont="1" fillId="0" applyAlignment="1">
      <alignment horizontal="left"/>
    </xf>
    <xf xfId="0" numFmtId="3" applyNumberFormat="1" borderId="9" applyBorder="1" fontId="3" applyFont="1" fillId="0" applyAlignment="1">
      <alignment horizontal="right"/>
    </xf>
    <xf xfId="0" numFmtId="3" applyNumberFormat="1" borderId="10" applyBorder="1" fontId="3" applyFont="1" fillId="0" applyAlignment="1">
      <alignment horizontal="right"/>
    </xf>
    <xf xfId="0" numFmtId="0" borderId="10" applyBorder="1" fontId="3" applyFont="1" fillId="0" applyAlignment="1">
      <alignment horizontal="left"/>
    </xf>
    <xf xfId="0" numFmtId="3" applyNumberFormat="1" borderId="11" applyBorder="1" fontId="3" applyFont="1" fillId="0" applyAlignment="1">
      <alignment horizontal="right"/>
    </xf>
    <xf xfId="0" numFmtId="0" borderId="1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"/>
  <sheetViews>
    <sheetView workbookViewId="0" tabSelected="1"/>
  </sheetViews>
  <sheetFormatPr defaultRowHeight="15" x14ac:dyDescent="0.25"/>
  <cols>
    <col min="1" max="1" style="9" width="14.147857142857141" customWidth="1" bestFit="1"/>
    <col min="2" max="2" style="12" width="17.719285714285714" customWidth="1" bestFit="1"/>
    <col min="3" max="3" style="12" width="17.719285714285714" customWidth="1" bestFit="1"/>
    <col min="4" max="4" style="9" width="14.147857142857141" customWidth="1" bestFit="1"/>
    <col min="5" max="5" style="9" width="14.147857142857141" customWidth="1" bestFit="1"/>
    <col min="6" max="6" style="9" width="14.147857142857141" customWidth="1" bestFit="1"/>
    <col min="7" max="7" style="9" width="14.147857142857141" customWidth="1" bestFit="1"/>
    <col min="8" max="8" style="9" width="14.147857142857141" customWidth="1" bestFit="1"/>
    <col min="9" max="9" style="9" width="14.147857142857141" customWidth="1" bestFit="1"/>
    <col min="10" max="10" style="9" width="14.147857142857141" customWidth="1" bestFit="1"/>
    <col min="11" max="11" style="9" width="14.147857142857141" customWidth="1" bestFit="1"/>
    <col min="12" max="12" style="9" width="14.147857142857141" customWidth="1" bestFit="1"/>
    <col min="13" max="13" style="9" width="14.147857142857141" customWidth="1" bestFit="1"/>
    <col min="14" max="14" style="9" width="14.147857142857141" customWidth="1" bestFit="1"/>
    <col min="15" max="15" style="9" width="14.147857142857141" customWidth="1" bestFit="1"/>
    <col min="16" max="16" style="9" width="14.147857142857141" customWidth="1" bestFit="1"/>
    <col min="17" max="17" style="9" width="14.147857142857141" customWidth="1" bestFit="1"/>
    <col min="18" max="18" style="9" width="14.147857142857141" customWidth="1" bestFit="1"/>
    <col min="19" max="19" style="9" width="14.147857142857141" customWidth="1" bestFit="1"/>
    <col min="20" max="20" style="9" width="14.147857142857141" customWidth="1" bestFit="1"/>
    <col min="21" max="21" style="9" width="14.147857142857141" customWidth="1" bestFit="1"/>
    <col min="22" max="22" style="9" width="14.147857142857141" customWidth="1" bestFit="1"/>
    <col min="23" max="23" style="9" width="14.147857142857141" customWidth="1" bestFit="1"/>
    <col min="24" max="24" style="9" width="14.147857142857141" customWidth="1" bestFit="1"/>
    <col min="25" max="25" style="9" width="14.147857142857141" customWidth="1" bestFit="1"/>
    <col min="26" max="26" style="9" width="14.147857142857141" customWidth="1" bestFit="1"/>
  </cols>
  <sheetData>
    <row x14ac:dyDescent="0.25" r="1" customHeight="1" ht="19.5">
      <c r="A1" s="1" t="s">
        <v>18</v>
      </c>
      <c r="B1" s="4" t="s">
        <v>19</v>
      </c>
      <c r="C1" s="4" t="s">
        <v>20</v>
      </c>
      <c r="D1" s="1" t="s">
        <v>9</v>
      </c>
      <c r="E1" s="1" t="s">
        <v>0</v>
      </c>
      <c r="F1" s="1" t="s">
        <v>8</v>
      </c>
      <c r="G1" s="1" t="s">
        <v>17</v>
      </c>
      <c r="H1" s="5" t="s">
        <v>21</v>
      </c>
      <c r="I1" s="5" t="s">
        <v>21</v>
      </c>
      <c r="J1" s="5" t="s">
        <v>21</v>
      </c>
      <c r="K1" s="5" t="s">
        <v>21</v>
      </c>
      <c r="L1" s="5" t="s">
        <v>21</v>
      </c>
      <c r="M1" s="5" t="s">
        <v>21</v>
      </c>
      <c r="N1" s="5" t="s">
        <v>21</v>
      </c>
      <c r="O1" s="5" t="s">
        <v>21</v>
      </c>
      <c r="P1" s="5" t="s">
        <v>21</v>
      </c>
      <c r="Q1" s="5" t="s">
        <v>21</v>
      </c>
      <c r="R1" s="5" t="s">
        <v>21</v>
      </c>
      <c r="S1" s="5" t="s">
        <v>21</v>
      </c>
      <c r="T1" s="5" t="s">
        <v>21</v>
      </c>
      <c r="U1" s="5" t="s">
        <v>21</v>
      </c>
      <c r="V1" s="5" t="s">
        <v>21</v>
      </c>
      <c r="W1" s="5" t="s">
        <v>21</v>
      </c>
      <c r="X1" s="5" t="s">
        <v>21</v>
      </c>
      <c r="Y1" s="5" t="s">
        <v>21</v>
      </c>
      <c r="Z1" s="5" t="s">
        <v>21</v>
      </c>
    </row>
    <row x14ac:dyDescent="0.25" r="2" customHeight="1" ht="19.5">
      <c r="A2" s="5" t="s">
        <v>22</v>
      </c>
      <c r="B2" s="8">
        <v>44427.69841435185</v>
      </c>
      <c r="C2" s="8">
        <v>44430.52328703704</v>
      </c>
      <c r="D2" s="5" t="s">
        <v>14</v>
      </c>
      <c r="E2" s="5" t="s">
        <v>4</v>
      </c>
      <c r="F2" s="37">
        <f>INT(B2)=INT(C2)</f>
      </c>
      <c r="G2" s="37">
        <f>AND(INT(B2)=INT(C2), HOUR(B2)=HOUR(C2))</f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x14ac:dyDescent="0.25" r="3" customHeight="1" ht="19.5">
      <c r="A3" s="5" t="s">
        <v>23</v>
      </c>
      <c r="B3" s="8">
        <v>44429.464837962965</v>
      </c>
      <c r="C3" s="8">
        <v>44429.717881944445</v>
      </c>
      <c r="D3" s="5" t="s">
        <v>15</v>
      </c>
      <c r="E3" s="5" t="s">
        <v>5</v>
      </c>
      <c r="F3" s="37">
        <f>INT(B3)=INT(C3)</f>
      </c>
      <c r="G3" s="37">
        <f>AND(INT(B3)=INT(C3), HOUR(B3)=HOUR(C3))</f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x14ac:dyDescent="0.25" r="4" customHeight="1" ht="19.5">
      <c r="A4" s="5" t="s">
        <v>24</v>
      </c>
      <c r="B4" s="8">
        <v>44429.423738425925</v>
      </c>
      <c r="C4" s="8">
        <v>44429.455</v>
      </c>
      <c r="D4" s="5" t="s">
        <v>14</v>
      </c>
      <c r="E4" s="5" t="s">
        <v>6</v>
      </c>
      <c r="F4" s="37">
        <f>INT(B4)=INT(C4)</f>
      </c>
      <c r="G4" s="37">
        <f>AND(INT(B4)=INT(C4), HOUR(B4)=HOUR(C4))</f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x14ac:dyDescent="0.25" r="5" customHeight="1" ht="19.5">
      <c r="A5" s="5" t="s">
        <v>25</v>
      </c>
      <c r="B5" s="8">
        <v>44430.39797453704</v>
      </c>
      <c r="C5" s="8">
        <v>44430.40677083333</v>
      </c>
      <c r="D5" s="5" t="s">
        <v>16</v>
      </c>
      <c r="E5" s="5" t="s">
        <v>26</v>
      </c>
      <c r="F5" s="37">
        <f>INT(B5)=INT(C5)</f>
      </c>
      <c r="G5" s="37">
        <f>AND(INT(B5)=INT(C5), HOUR(B5)=HOUR(C5))</f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x14ac:dyDescent="0.25" r="6" customHeight="1" ht="19.5">
      <c r="A6" s="5" t="s">
        <v>27</v>
      </c>
      <c r="B6" s="8">
        <v>44430.59230324074</v>
      </c>
      <c r="C6" s="8">
        <v>44433.75037037037</v>
      </c>
      <c r="D6" s="5" t="s">
        <v>15</v>
      </c>
      <c r="E6" s="5" t="s">
        <v>28</v>
      </c>
      <c r="F6" s="37">
        <f>INT(B6)=INT(C6)</f>
      </c>
      <c r="G6" s="37">
        <f>AND(INT(B6)=INT(C6), HOUR(B6)=HOUR(C6))</f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/>
  </sheetViews>
  <sheetFormatPr defaultRowHeight="15" x14ac:dyDescent="0.25"/>
  <cols>
    <col min="1" max="1" style="9" width="21.290714285714284" customWidth="1" bestFit="1"/>
    <col min="2" max="2" style="11" width="9.43357142857143" customWidth="1" bestFit="1"/>
    <col min="3" max="3" style="11" width="14.147857142857141" customWidth="1" bestFit="1"/>
    <col min="4" max="4" style="9" width="14.147857142857141" customWidth="1" bestFit="1"/>
    <col min="5" max="5" style="11" width="14.147857142857141" customWidth="1" bestFit="1"/>
  </cols>
  <sheetData>
    <row x14ac:dyDescent="0.25" r="1" customHeight="1" ht="19.5">
      <c r="A1" s="13" t="s">
        <v>7</v>
      </c>
      <c r="B1" s="14" t="s">
        <v>17</v>
      </c>
      <c r="C1" s="15"/>
      <c r="D1" s="16"/>
      <c r="E1" s="17"/>
    </row>
    <row x14ac:dyDescent="0.25" r="2" customHeight="1" ht="19.5">
      <c r="A2" s="13" t="s">
        <v>9</v>
      </c>
      <c r="B2" s="14" t="s">
        <v>10</v>
      </c>
      <c r="C2" s="18" t="s">
        <v>11</v>
      </c>
      <c r="D2" s="19" t="s">
        <v>12</v>
      </c>
      <c r="E2" s="20" t="s">
        <v>13</v>
      </c>
    </row>
    <row x14ac:dyDescent="0.25" r="3" customHeight="1" ht="19.5">
      <c r="A3" s="13" t="s">
        <v>14</v>
      </c>
      <c r="B3" s="21">
        <v>1</v>
      </c>
      <c r="C3" s="22">
        <v>1</v>
      </c>
      <c r="D3" s="19"/>
      <c r="E3" s="23">
        <v>2</v>
      </c>
    </row>
    <row x14ac:dyDescent="0.25" r="4" customHeight="1" ht="19.5">
      <c r="A4" s="24" t="s">
        <v>15</v>
      </c>
      <c r="B4" s="25">
        <v>2</v>
      </c>
      <c r="C4" s="30"/>
      <c r="D4" s="27"/>
      <c r="E4" s="28">
        <v>2</v>
      </c>
    </row>
    <row x14ac:dyDescent="0.25" r="5" customHeight="1" ht="19.5">
      <c r="A5" s="24" t="s">
        <v>16</v>
      </c>
      <c r="B5" s="29"/>
      <c r="C5" s="26">
        <v>1</v>
      </c>
      <c r="D5" s="27"/>
      <c r="E5" s="28">
        <v>1</v>
      </c>
    </row>
    <row x14ac:dyDescent="0.25" r="6" customHeight="1" ht="19.5">
      <c r="A6" s="24" t="s">
        <v>12</v>
      </c>
      <c r="B6" s="29"/>
      <c r="C6" s="30"/>
      <c r="D6" s="27"/>
      <c r="E6" s="31"/>
    </row>
    <row x14ac:dyDescent="0.25" r="7" customHeight="1" ht="19.5">
      <c r="A7" s="32" t="s">
        <v>13</v>
      </c>
      <c r="B7" s="33">
        <v>3</v>
      </c>
      <c r="C7" s="34">
        <v>2</v>
      </c>
      <c r="D7" s="35"/>
      <c r="E7" s="3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/>
  </sheetViews>
  <sheetFormatPr defaultRowHeight="15" x14ac:dyDescent="0.25"/>
  <cols>
    <col min="1" max="1" style="9" width="19.290714285714284" customWidth="1" bestFit="1"/>
    <col min="2" max="2" style="11" width="14.147857142857141" customWidth="1" bestFit="1"/>
    <col min="3" max="3" style="11" width="14.147857142857141" customWidth="1" bestFit="1"/>
    <col min="4" max="4" style="9" width="14.147857142857141" customWidth="1" bestFit="1"/>
    <col min="5" max="5" style="11" width="14.147857142857141" customWidth="1" bestFit="1"/>
  </cols>
  <sheetData>
    <row x14ac:dyDescent="0.25" r="1" customHeight="1" ht="19.5">
      <c r="A1" s="13" t="s">
        <v>7</v>
      </c>
      <c r="B1" s="14" t="s">
        <v>8</v>
      </c>
      <c r="C1" s="15"/>
      <c r="D1" s="16"/>
      <c r="E1" s="17"/>
    </row>
    <row x14ac:dyDescent="0.25" r="2" customHeight="1" ht="19.5">
      <c r="A2" s="13" t="s">
        <v>9</v>
      </c>
      <c r="B2" s="14" t="s">
        <v>10</v>
      </c>
      <c r="C2" s="18" t="s">
        <v>11</v>
      </c>
      <c r="D2" s="19" t="s">
        <v>12</v>
      </c>
      <c r="E2" s="20" t="s">
        <v>13</v>
      </c>
    </row>
    <row x14ac:dyDescent="0.25" r="3" customHeight="1" ht="19.5">
      <c r="A3" s="13" t="s">
        <v>14</v>
      </c>
      <c r="B3" s="21">
        <v>1</v>
      </c>
      <c r="C3" s="22">
        <v>1</v>
      </c>
      <c r="D3" s="19"/>
      <c r="E3" s="23">
        <v>2</v>
      </c>
    </row>
    <row x14ac:dyDescent="0.25" r="4" customHeight="1" ht="19.5">
      <c r="A4" s="24" t="s">
        <v>15</v>
      </c>
      <c r="B4" s="25">
        <v>1</v>
      </c>
      <c r="C4" s="26">
        <v>1</v>
      </c>
      <c r="D4" s="27"/>
      <c r="E4" s="28">
        <v>2</v>
      </c>
    </row>
    <row x14ac:dyDescent="0.25" r="5" customHeight="1" ht="19.5">
      <c r="A5" s="24" t="s">
        <v>16</v>
      </c>
      <c r="B5" s="29"/>
      <c r="C5" s="26">
        <v>1</v>
      </c>
      <c r="D5" s="27"/>
      <c r="E5" s="28">
        <v>1</v>
      </c>
    </row>
    <row x14ac:dyDescent="0.25" r="6" customHeight="1" ht="19.5">
      <c r="A6" s="24" t="s">
        <v>12</v>
      </c>
      <c r="B6" s="29"/>
      <c r="C6" s="30"/>
      <c r="D6" s="27"/>
      <c r="E6" s="31"/>
    </row>
    <row x14ac:dyDescent="0.25" r="7" customHeight="1" ht="19.5">
      <c r="A7" s="32" t="s">
        <v>13</v>
      </c>
      <c r="B7" s="33">
        <v>2</v>
      </c>
      <c r="C7" s="34">
        <v>3</v>
      </c>
      <c r="D7" s="35"/>
      <c r="E7" s="3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9" width="11.43357142857143" customWidth="1" bestFit="1"/>
    <col min="2" max="2" style="10" width="16.433571428571426" customWidth="1" bestFit="1"/>
    <col min="3" max="3" style="11" width="13.719285714285713" customWidth="1" bestFit="1"/>
    <col min="4" max="4" style="12" width="16.290714285714284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9.5">
      <c r="A2" s="5" t="s">
        <v>4</v>
      </c>
      <c r="B2" s="6">
        <v>44429.560277777775</v>
      </c>
      <c r="C2" s="7">
        <v>3</v>
      </c>
      <c r="D2" s="8">
        <f>INDEX(ticket!$B$2:$B$1000, MATCH(A2, ticket!$E$2:$E$1000, 0))</f>
        <v>25569.229166666668</v>
      </c>
    </row>
    <row x14ac:dyDescent="0.25" r="3" customHeight="1" ht="19.5">
      <c r="A3" s="5" t="s">
        <v>5</v>
      </c>
      <c r="B3" s="6">
        <v>44429.59386574074</v>
      </c>
      <c r="C3" s="7">
        <v>4</v>
      </c>
      <c r="D3" s="8">
        <f>INDEX(ticket!$B$2:$B$1000, MATCH(A3, ticket!$E$2:$E$1000, 0))</f>
        <v>25569.229166666668</v>
      </c>
    </row>
    <row x14ac:dyDescent="0.25" r="4" customHeight="1" ht="19.5">
      <c r="A4" s="5" t="s">
        <v>6</v>
      </c>
      <c r="B4" s="6">
        <v>44429.45775462963</v>
      </c>
      <c r="C4" s="7">
        <v>5</v>
      </c>
      <c r="D4" s="8">
        <f>INDEX(ticket!$B$2:$B$1000, MATCH(A4, ticket!$E$2:$E$1000, 0))</f>
        <v>25569.229166666668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ticket</vt:lpstr>
      <vt:lpstr>Pivot Table (Same Hour)</vt:lpstr>
      <vt:lpstr>Pivot Table (Same Day)</vt:lpstr>
      <vt:lpstr>feedbacks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2025-12-03T04:57:02.004Z</dcterms:created>
  <dcterms:modified xsi:type="dcterms:W3CDTF">2025-12-03T04:57:02.004Z</dcterms:modified>
</cp:coreProperties>
</file>